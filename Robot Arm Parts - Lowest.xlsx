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w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4.83203125" customWidth="1"/>
    <col min="2" max="2" width="55.83203125" customWidth="1"/>
    <col min="3" max="3" width="14.83203125" customWidth="1"/>
    <col min="4" max="4" width="70.83203125" customWidth="1"/>
    <col min="5" max="5" width="16.83203125" customWidth="1"/>
    <col min="6" max="6" width="14.83203125" customWidth="1"/>
    <col min="7" max="7" width="16.83203125" customWidth="1"/>
    <col min="8" max="8" width="80.83203125" customWidth="1"/>
  </cols>
  <sheetData>
    <row r="1">
      <c r="A1" t="str">
        <v>Lowest</v>
      </c>
    </row>
    <row r="2">
      <c r="A2" t="str">
        <v>Live Amazon scrape date</v>
      </c>
      <c r="B2" t="str">
        <v>2026-02-28</v>
      </c>
    </row>
    <row r="4">
      <c r="A4" t="str">
        <v>Section</v>
      </c>
      <c r="B4" t="str">
        <v>Product Name</v>
      </c>
      <c r="C4" t="str">
        <v>Quantity Needed</v>
      </c>
      <c r="D4" t="str">
        <v>Amazon/Amazon.ca Link</v>
      </c>
      <c r="E4" t="str">
        <v>Unit Price (CAD)</v>
      </c>
      <c r="F4" t="str">
        <v>Shipping (CAD)</v>
      </c>
      <c r="G4" t="str">
        <v>Line Total (CAD)</v>
      </c>
      <c r="H4" t="str">
        <v>Notes</v>
      </c>
    </row>
    <row r="5">
      <c r="A5" t="str">
        <v>Leader</v>
      </c>
      <c r="B5" t="str">
        <v>6X 7.4V STS3215 Servos for SO-ARM100 Robotic Arm 19KG High Torque Intelligent Bus Servo TTL with FE-URT-1</v>
      </c>
      <c r="C5">
        <v>1</v>
      </c>
      <c r="D5" t="str">
        <v>https://www.amazon.ca/Kikolufy-STS3215-SO-ARM100-Intelligent-FE-URT-1/dp/B0FQCT2LK1</v>
      </c>
      <c r="E5">
        <v>185.8</v>
      </c>
      <c r="F5">
        <v>5.54</v>
      </c>
      <c r="G5">
        <f>C5*E5+F5</f>
        <v>191.34</v>
      </c>
      <c r="H5" t="str">
        <v>Amazon-only SO-ARM100 leader bundle. Repo requires 3x C046 + 2x C044 + 1x C001; listing does not expose the ratio split.</v>
      </c>
    </row>
    <row r="6">
      <c r="A6" t="str">
        <v>Leader</v>
      </c>
      <c r="B6" t="str">
        <v>Serial Bus Servo Driver Board, Integrates Servo Power Supply and Control Circuit, for ST/SC Series Serial Bus Servos, Supports 253 ST/SC Series Serial Bus Servos at The Same Time</v>
      </c>
      <c r="C6">
        <v>1</v>
      </c>
      <c r="D6" t="str">
        <v>https://www.amazon.ca/Wonrabai-Waveshare-Integrates-Control-Supports/dp/B0CTMM4LWK</v>
      </c>
      <c r="E6">
        <v>15.35</v>
      </c>
      <c r="F6">
        <v>5.05</v>
      </c>
      <c r="G6">
        <f>C6*E6+F6</f>
        <v>20.4</v>
      </c>
      <c r="H6" t="str">
        <v>Exact ST/SC serial bus board for the leader arm.</v>
      </c>
    </row>
    <row r="7">
      <c r="A7" t="str">
        <v>Leader</v>
      </c>
      <c r="B7" t="str">
        <v>etguuds Blue USB C Cable 6.6ft, 2-Pack USB to USB C Cable 3A Fast Charging Type C Cable Braided Data Cord</v>
      </c>
      <c r="C7">
        <v>1</v>
      </c>
      <c r="D7" t="str">
        <v>https://www.amazon.ca/Charging-etguuds-Charger-Braided-Compatible/dp/B0B8NWLLW2</v>
      </c>
      <c r="E7">
        <v>12.59</v>
      </c>
      <c r="F7">
        <v>0</v>
      </c>
      <c r="G7">
        <f>C7*E7+F7</f>
        <v>12.59</v>
      </c>
      <c r="H7" t="str">
        <v>Use one cable for the leader control board.</v>
      </c>
    </row>
    <row r="8">
      <c r="A8" t="str">
        <v>Leader</v>
      </c>
      <c r="B8" t="str">
        <v>5V 5A Power Adapter 25W AC 100-240V to DC Wall Power Supply Converter with 5.5x2.5mm/2.1mm Plug</v>
      </c>
      <c r="C8">
        <v>1</v>
      </c>
      <c r="D8" t="str">
        <v>https://www.amazon.ca/MTDZKJG-100-240V-Converter-5-5x2-5mm-Security/dp/B0CJHQNFMG</v>
      </c>
      <c r="E8">
        <v>26.41</v>
      </c>
      <c r="F8">
        <v>5.51</v>
      </c>
      <c r="G8">
        <f>C8*E8+F8</f>
        <v>31.92</v>
      </c>
      <c r="H8" t="str">
        <v>Leader-side power supply with 5.5x2.1mm compatibility.</v>
      </c>
    </row>
    <row r="9">
      <c r="A9" t="str">
        <v>Follower</v>
      </c>
      <c r="B9" t="str">
        <v>2PCS STS3215 12V 30KG Dual Axis TTL Serial Bus Servo Metal Gear 360 Degree Programmable Magnetic Encoder Servo for Arduino Robotic Arm Smart Robot</v>
      </c>
      <c r="C9">
        <v>3</v>
      </c>
      <c r="D9" t="str">
        <v>https://www.amazon.ca/STS3215-Programmable-Magnetic-Encoder-Arduino/dp/B0FVS5HD2V</v>
      </c>
      <c r="E9">
        <v>66.59</v>
      </c>
      <c r="F9">
        <v>0</v>
      </c>
      <c r="G9">
        <f>C9*E9+F9</f>
        <v>199.77</v>
      </c>
      <c r="H9" t="str">
        <v>Buy 3 packs to get the 6x 12V follower servos required for the shared 12V rail.</v>
      </c>
    </row>
    <row r="10">
      <c r="A10" t="str">
        <v>Follower</v>
      </c>
      <c r="B10" t="str">
        <v>Serial Bus Servo Driver Board, Integrates Servo Power Supply and Control Circuit, for ST/SC Series Serial Bus Servos, Supports 253 ST/SC Series Serial Bus Servos at The Same Time</v>
      </c>
      <c r="C10">
        <v>1</v>
      </c>
      <c r="D10" t="str">
        <v>https://www.amazon.ca/Wonrabai-Waveshare-Integrates-Control-Supports/dp/B0CTMM4LWK</v>
      </c>
      <c r="E10">
        <v>15.35</v>
      </c>
      <c r="F10">
        <v>5.05</v>
      </c>
      <c r="G10">
        <f>C10*E10+F10</f>
        <v>20.4</v>
      </c>
      <c r="H10" t="str">
        <v>Exact ST/SC serial bus board for the follower arm.</v>
      </c>
    </row>
    <row r="11">
      <c r="A11" t="str">
        <v>Follower</v>
      </c>
      <c r="B11" t="str">
        <v>etguuds Blue USB C Cable 6.6ft, 2-Pack USB to USB C Cable 3A Fast Charging Type C Cable Braided Data Cord</v>
      </c>
      <c r="C11">
        <v>1</v>
      </c>
      <c r="D11" t="str">
        <v>https://www.amazon.ca/Charging-etguuds-Charger-Braided-Compatible/dp/B0B8NWLLW2</v>
      </c>
      <c r="E11">
        <v>12.59</v>
      </c>
      <c r="F11">
        <v>0</v>
      </c>
      <c r="G11">
        <f>C11*E11+F11</f>
        <v>12.59</v>
      </c>
      <c r="H11" t="str">
        <v>Use one cable for the follower control board.</v>
      </c>
    </row>
    <row r="12">
      <c r="A12" t="str">
        <v>Follower</v>
      </c>
      <c r="B12" t="str">
        <v>12V 5A Power Supply, AC 120V to DC12V 5.5x2.1mm Jack Converter, 12 Volt LED Driver 60W Adapter Transformer</v>
      </c>
      <c r="C12">
        <v>1</v>
      </c>
      <c r="D12" t="str">
        <v>https://www.amazon.ca/5-5x2-1mm-Converter-Transformer-Surveillance-External/dp/B07GFFG1BQ</v>
      </c>
      <c r="E12">
        <v>16.99</v>
      </c>
      <c r="F12">
        <v>0</v>
      </c>
      <c r="G12">
        <f>C12*E12+F12</f>
        <v>16.99</v>
      </c>
      <c r="H12" t="str">
        <v>Explicit 5.5x2.1mm 12V/5A adapter for the upgraded follower chain.</v>
      </c>
    </row>
    <row r="13">
      <c r="A13" t="str">
        <v>Shared</v>
      </c>
      <c r="B13" t="str">
        <v>cSeao 100pcs M2 x 6mm Pan Head Phillips Drive Machine Screws 304 Stainless Steel</v>
      </c>
      <c r="C13">
        <v>1</v>
      </c>
      <c r="D13" t="str">
        <v>https://www.amazon.ca/cSeao-100pcs-Phillips-Machine-Stainless/dp/B0CMCTX529</v>
      </c>
      <c r="E13">
        <v>7.33</v>
      </c>
      <c r="F13">
        <v>0</v>
      </c>
      <c r="G13">
        <f>C13*E13+F13</f>
        <v>7.33</v>
      </c>
      <c r="H13" t="str">
        <v>Arm hardware fill-in for M2x6 requirements.</v>
      </c>
    </row>
    <row r="14">
      <c r="A14" t="str">
        <v>Shared</v>
      </c>
      <c r="B14" t="str">
        <v>binifiMux 360pcs M3 x 4mm/ 6mm/ 8mm/ 10mm/ 12mm/ 16mm / 20mm Black Countersunk Flat Head Phillips Machine Screws and Hex Nuts Kit</v>
      </c>
      <c r="C14">
        <v>1</v>
      </c>
      <c r="D14" t="str">
        <v>https://www.amazon.ca/binifiMux-360pcs-Countersunk-Phillips-Machine/dp/B08N5XDHMW</v>
      </c>
      <c r="E14">
        <v>10.49</v>
      </c>
      <c r="F14">
        <v>0</v>
      </c>
      <c r="G14">
        <f>C14*E14+F14</f>
        <v>10.49</v>
      </c>
      <c r="H14" t="str">
        <v>Arm hardware fill-in including M3x6 screws.</v>
      </c>
    </row>
    <row r="15">
      <c r="A15" t="str">
        <v>TOTAL: Lowest Items (CAD)</v>
      </c>
      <c r="G15">
        <f>SUM(G5:G14)</f>
        <v>523.82</v>
      </c>
    </row>
    <row r="16">
      <c r="A16" t="str">
        <v>HST 13% (CAD)</v>
      </c>
      <c r="G16">
        <f>ROUND(G15*0.13,2)</f>
        <v>68.1</v>
      </c>
    </row>
    <row r="17">
      <c r="A17" t="str">
        <v>GRAND TOTAL (CAD)</v>
      </c>
      <c r="G17">
        <f>G15+G16</f>
        <v>591.92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