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er Arm BOM" sheetId="2" state="visible" r:id="rId2"/>
    <sheet name="Follower Arm BOM (12V)" sheetId="3" state="visible" r:id="rId3"/>
    <sheet name="Shared-Tools-Faste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4" customWidth="1" min="1" max="1"/>
    <col width="96" customWidth="1" min="2" max="2"/>
  </cols>
  <sheetData>
    <row r="1">
      <c r="A1" s="1" t="inlineStr">
        <is>
          <t>SO-101 Leader+Follower (12V follower upgrade) BOM Summary</t>
        </is>
      </c>
    </row>
    <row r="3">
      <c r="A3" s="2" t="inlineStr">
        <is>
          <t>Verified mechanical/electrical counts</t>
        </is>
      </c>
    </row>
    <row r="4">
      <c r="A4" t="inlineStr">
        <is>
          <t>Leader motors</t>
        </is>
      </c>
      <c r="B4" t="inlineStr">
        <is>
          <t>6 total: C046 x3, C044 x2, C001 x1 (7.4V)</t>
        </is>
      </c>
    </row>
    <row r="5">
      <c r="A5" t="inlineStr">
        <is>
          <t>Follower motors</t>
        </is>
      </c>
      <c r="B5" t="inlineStr">
        <is>
          <t>6 total: STS3215 12V high-torque (1/345 chain, all 12V on same rail)</t>
        </is>
      </c>
    </row>
    <row r="6">
      <c r="A6" t="inlineStr">
        <is>
          <t>Control boards</t>
        </is>
      </c>
      <c r="B6" t="inlineStr">
        <is>
          <t>2 total (leader + follower, separate buses)</t>
        </is>
      </c>
    </row>
    <row r="7">
      <c r="A7" t="inlineStr">
        <is>
          <t>Power topology</t>
        </is>
      </c>
      <c r="B7" t="inlineStr">
        <is>
          <t>Leader supply stays 5V class from kit defaults; follower requires dedicated 12V 5A+ supply</t>
        </is>
      </c>
    </row>
    <row r="8">
      <c r="A8" t="inlineStr">
        <is>
          <t>Fasteners</t>
        </is>
      </c>
      <c r="B8" t="inlineStr">
        <is>
          <t>Assembly docs call out M2x6 and M3x6 usage across joints; servo-included screws commonly used</t>
        </is>
      </c>
    </row>
    <row r="10">
      <c r="A10" s="2" t="inlineStr">
        <is>
          <t>Cost Rollup (CAD)</t>
        </is>
      </c>
    </row>
    <row r="11">
      <c r="A11" t="inlineStr">
        <is>
          <t>Leader tab total</t>
        </is>
      </c>
      <c r="B11">
        <f>'Leader Arm BOM'!I5</f>
        <v/>
      </c>
    </row>
    <row r="12">
      <c r="A12" t="inlineStr">
        <is>
          <t>Follower tab total</t>
        </is>
      </c>
      <c r="B12">
        <f>'Follower Arm BOM (12V)'!I5</f>
        <v/>
      </c>
    </row>
    <row r="13">
      <c r="A13" t="inlineStr">
        <is>
          <t>Shared tab total</t>
        </is>
      </c>
      <c r="B13">
        <f>'Shared-Tools-Fasteners'!I6</f>
        <v/>
      </c>
    </row>
    <row r="14">
      <c r="A14" t="inlineStr">
        <is>
          <t>Grand total (current sheet data)</t>
        </is>
      </c>
      <c r="B14" s="3">
        <f>SUM(B11:B13)</f>
        <v/>
      </c>
    </row>
    <row r="16">
      <c r="A16" s="4" t="inlineStr">
        <is>
          <t>Blocking caveats</t>
        </is>
      </c>
    </row>
    <row r="17">
      <c r="A17" t="inlineStr">
        <is>
          <t>- AliExpress anti-bot challenge (RGV587 / captcha) blocked full search coverage mid-run.</t>
        </is>
      </c>
    </row>
    <row r="18">
      <c r="A18" t="inlineStr">
        <is>
          <t>- 12V 5A+ follower PSU listing is required but unresolved in this pass.</t>
        </is>
      </c>
    </row>
    <row r="19">
      <c r="A19" t="inlineStr">
        <is>
          <t>- Arm Motor Kit shipping shown is for default SKU on the same listing; selected SKU shipping may differ at checkout.</t>
        </is>
      </c>
    </row>
    <row r="20">
      <c r="A20" t="inlineStr">
        <is>
          <t>- Tax values are estimated as Ontario HST 13% on item+shipping where amounts are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8" customWidth="1" min="4" max="4"/>
    <col width="55" customWidth="1" min="5" max="5"/>
    <col width="14" customWidth="1" min="6" max="6"/>
    <col width="14" customWidth="1" min="7" max="7"/>
    <col width="12" customWidth="1" min="8" max="8"/>
    <col width="14" customWidth="1" min="9" max="9"/>
    <col width="72" customWidth="1" min="10" max="10"/>
  </cols>
  <sheetData>
    <row r="1">
      <c r="A1" s="5" t="inlineStr">
        <is>
          <t>Section</t>
        </is>
      </c>
      <c r="B1" s="5" t="inlineStr">
        <is>
          <t>Part category</t>
        </is>
      </c>
      <c r="C1" s="5" t="inlineStr">
        <is>
          <t>Spec / exact variant</t>
        </is>
      </c>
      <c r="D1" s="5" t="inlineStr">
        <is>
          <t>Qty</t>
        </is>
      </c>
      <c r="E1" s="5" t="inlineStr">
        <is>
          <t>AliExpress URL (exact)</t>
        </is>
      </c>
      <c r="F1" s="5" t="inlineStr">
        <is>
          <t>Unit price (CAD)</t>
        </is>
      </c>
      <c r="G1" s="5" t="inlineStr">
        <is>
          <t>Shipping (CAD)</t>
        </is>
      </c>
      <c r="H1" s="5" t="inlineStr">
        <is>
          <t>Tax (CAD)</t>
        </is>
      </c>
      <c r="I1" s="5" t="inlineStr">
        <is>
          <t>Line total (CAD)</t>
        </is>
      </c>
      <c r="J1" s="5" t="inlineStr">
        <is>
          <t>Notes / verification checklist</t>
        </is>
      </c>
    </row>
    <row r="2">
      <c r="A2" t="inlineStr">
        <is>
          <t>Leader</t>
        </is>
      </c>
      <c r="B2" t="inlineStr">
        <is>
          <t>Actuation requirement</t>
        </is>
      </c>
      <c r="C2" t="inlineStr">
        <is>
          <t>Leader requires 6x STS3215 7.4V with mixed gears: C046x3, C044x2, C001x1</t>
        </is>
      </c>
      <c r="D2" t="n">
        <v>1</v>
      </c>
      <c r="E2" t="inlineStr">
        <is>
          <t>https://www.aliexpress.com/item/1005008883199466.html</t>
        </is>
      </c>
      <c r="F2" s="6" t="n">
        <v>0</v>
      </c>
      <c r="G2" s="6" t="n">
        <v>0</v>
      </c>
      <c r="H2" s="6" t="n">
        <v>0</v>
      </c>
      <c r="I2" s="6" t="n">
        <v>0</v>
      </c>
      <c r="J2" t="inlineStr">
        <is>
          <t>Included in Arm Motor Kit line on Shared tab (verified from seller part list text).</t>
        </is>
      </c>
    </row>
    <row r="3">
      <c r="A3" t="inlineStr">
        <is>
          <t>Leader</t>
        </is>
      </c>
      <c r="B3" t="inlineStr">
        <is>
          <t>Controller board</t>
        </is>
      </c>
      <c r="C3" t="inlineStr">
        <is>
          <t>Serial bus adapter board x1 for leader arm</t>
        </is>
      </c>
      <c r="D3" t="n">
        <v>1</v>
      </c>
      <c r="E3" t="inlineStr">
        <is>
          <t>https://www.aliexpress.com/item/1005008883199466.html</t>
        </is>
      </c>
      <c r="F3" s="6" t="n">
        <v>0</v>
      </c>
      <c r="G3" s="6" t="n">
        <v>0</v>
      </c>
      <c r="H3" s="6" t="n">
        <v>0</v>
      </c>
      <c r="I3" s="6" t="n">
        <v>0</v>
      </c>
      <c r="J3" t="inlineStr">
        <is>
          <t>Included in Arm Motor Kit line on Shared tab; board type in listing is Seeed Servo Adapter.</t>
        </is>
      </c>
    </row>
    <row r="4">
      <c r="A4" t="inlineStr">
        <is>
          <t>Leader</t>
        </is>
      </c>
      <c r="B4" t="inlineStr">
        <is>
          <t>Power</t>
        </is>
      </c>
      <c r="C4" t="inlineStr">
        <is>
          <t>5V 4A supply for leader arm (5.5x2.1mm)</t>
        </is>
      </c>
      <c r="D4" t="n">
        <v>1</v>
      </c>
      <c r="E4" t="inlineStr">
        <is>
          <t>https://www.aliexpress.com/item/1005008883199466.html</t>
        </is>
      </c>
      <c r="F4" s="6" t="n">
        <v>0</v>
      </c>
      <c r="G4" s="6" t="n">
        <v>0</v>
      </c>
      <c r="H4" s="6" t="n">
        <v>0</v>
      </c>
      <c r="I4" s="6" t="n">
        <v>0</v>
      </c>
      <c r="J4" t="inlineStr">
        <is>
          <t>Bundle documentation shows 5V4A for leader in Arm Kit/Pro table.</t>
        </is>
      </c>
    </row>
    <row r="5">
      <c r="A5" s="2" t="inlineStr">
        <is>
          <t>TOTAL</t>
        </is>
      </c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8" customWidth="1" min="4" max="4"/>
    <col width="55" customWidth="1" min="5" max="5"/>
    <col width="14" customWidth="1" min="6" max="6"/>
    <col width="14" customWidth="1" min="7" max="7"/>
    <col width="12" customWidth="1" min="8" max="8"/>
    <col width="14" customWidth="1" min="9" max="9"/>
    <col width="72" customWidth="1" min="10" max="10"/>
  </cols>
  <sheetData>
    <row r="1">
      <c r="A1" s="5" t="inlineStr">
        <is>
          <t>Section</t>
        </is>
      </c>
      <c r="B1" s="5" t="inlineStr">
        <is>
          <t>Part category</t>
        </is>
      </c>
      <c r="C1" s="5" t="inlineStr">
        <is>
          <t>Spec / exact variant</t>
        </is>
      </c>
      <c r="D1" s="5" t="inlineStr">
        <is>
          <t>Qty</t>
        </is>
      </c>
      <c r="E1" s="5" t="inlineStr">
        <is>
          <t>AliExpress URL (exact)</t>
        </is>
      </c>
      <c r="F1" s="5" t="inlineStr">
        <is>
          <t>Unit price (CAD)</t>
        </is>
      </c>
      <c r="G1" s="5" t="inlineStr">
        <is>
          <t>Shipping (CAD)</t>
        </is>
      </c>
      <c r="H1" s="5" t="inlineStr">
        <is>
          <t>Tax (CAD)</t>
        </is>
      </c>
      <c r="I1" s="5" t="inlineStr">
        <is>
          <t>Line total (CAD)</t>
        </is>
      </c>
      <c r="J1" s="5" t="inlineStr">
        <is>
          <t>Notes / verification checklist</t>
        </is>
      </c>
    </row>
    <row r="2">
      <c r="A2" t="inlineStr">
        <is>
          <t>Follower</t>
        </is>
      </c>
      <c r="B2" t="inlineStr">
        <is>
          <t>Actuation</t>
        </is>
      </c>
      <c r="C2" t="inlineStr">
        <is>
          <t>STS3215 12V 30KG (6PCS set) for full 12V follower chain</t>
        </is>
      </c>
      <c r="D2" t="n">
        <v>1</v>
      </c>
      <c r="E2" t="inlineStr">
        <is>
          <t>https://www.aliexpress.com/item/1005011566463861.html</t>
        </is>
      </c>
      <c r="F2" s="6" t="n">
        <v>153.55</v>
      </c>
      <c r="G2" s="6" t="n">
        <v>0</v>
      </c>
      <c r="H2" s="6">
        <f>ROUND((F2*D2+G2)*0.13,2)</f>
        <v/>
      </c>
      <c r="I2" s="6">
        <f>ROUND(F2*D2+G2+H2,2)</f>
        <v/>
      </c>
      <c r="J2" t="inlineStr">
        <is>
          <t>Verified single-SKU listing title: 6PCS 12V 30KG STS3215. Shipping field returned blank (treated as free).</t>
        </is>
      </c>
    </row>
    <row r="3">
      <c r="A3" t="inlineStr">
        <is>
          <t>Follower</t>
        </is>
      </c>
      <c r="B3" t="inlineStr">
        <is>
          <t>Power</t>
        </is>
      </c>
      <c r="C3" t="inlineStr">
        <is>
          <t>12V 5A+ supply (5.5x2.1mm) REQUIRED for 12V follower</t>
        </is>
      </c>
      <c r="D3" t="n">
        <v>1</v>
      </c>
      <c r="E3" t="inlineStr"/>
      <c r="F3" s="6" t="n">
        <v>0</v>
      </c>
      <c r="G3" s="6" t="n">
        <v>0</v>
      </c>
      <c r="H3" s="6" t="n">
        <v>0</v>
      </c>
      <c r="I3" s="6" t="n">
        <v>0</v>
      </c>
      <c r="J3" t="inlineStr">
        <is>
          <t>UNRESOLVED: mandatory requirement from repo note; AliExpress search/API blocked by anti-bot during sourcing pass.</t>
        </is>
      </c>
    </row>
    <row r="4">
      <c r="A4" t="inlineStr">
        <is>
          <t>Follower</t>
        </is>
      </c>
      <c r="B4" t="inlineStr">
        <is>
          <t>Controller board</t>
        </is>
      </c>
      <c r="C4" t="inlineStr">
        <is>
          <t>Serial bus adapter board x1 for follower arm</t>
        </is>
      </c>
      <c r="D4" t="n">
        <v>1</v>
      </c>
      <c r="E4" t="inlineStr">
        <is>
          <t>https://www.aliexpress.com/item/1005008883199466.html</t>
        </is>
      </c>
      <c r="F4" s="6" t="n">
        <v>0</v>
      </c>
      <c r="G4" s="6" t="n">
        <v>0</v>
      </c>
      <c r="H4" s="6" t="n">
        <v>0</v>
      </c>
      <c r="I4" s="6" t="n">
        <v>0</v>
      </c>
      <c r="J4" t="inlineStr">
        <is>
          <t>Included in Arm Motor Kit line on Shared tab.</t>
        </is>
      </c>
    </row>
    <row r="5">
      <c r="A5" s="2" t="inlineStr">
        <is>
          <t>TOTAL</t>
        </is>
      </c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2" customWidth="1" min="3" max="3"/>
    <col width="8" customWidth="1" min="4" max="4"/>
    <col width="55" customWidth="1" min="5" max="5"/>
    <col width="14" customWidth="1" min="6" max="6"/>
    <col width="14" customWidth="1" min="7" max="7"/>
    <col width="12" customWidth="1" min="8" max="8"/>
    <col width="14" customWidth="1" min="9" max="9"/>
    <col width="72" customWidth="1" min="10" max="10"/>
  </cols>
  <sheetData>
    <row r="1">
      <c r="A1" s="5" t="inlineStr">
        <is>
          <t>Section</t>
        </is>
      </c>
      <c r="B1" s="5" t="inlineStr">
        <is>
          <t>Part category</t>
        </is>
      </c>
      <c r="C1" s="5" t="inlineStr">
        <is>
          <t>Spec / exact variant</t>
        </is>
      </c>
      <c r="D1" s="5" t="inlineStr">
        <is>
          <t>Qty</t>
        </is>
      </c>
      <c r="E1" s="5" t="inlineStr">
        <is>
          <t>AliExpress URL (exact)</t>
        </is>
      </c>
      <c r="F1" s="5" t="inlineStr">
        <is>
          <t>Unit price (CAD)</t>
        </is>
      </c>
      <c r="G1" s="5" t="inlineStr">
        <is>
          <t>Shipping (CAD)</t>
        </is>
      </c>
      <c r="H1" s="5" t="inlineStr">
        <is>
          <t>Tax (CAD)</t>
        </is>
      </c>
      <c r="I1" s="5" t="inlineStr">
        <is>
          <t>Line total (CAD)</t>
        </is>
      </c>
      <c r="J1" s="5" t="inlineStr">
        <is>
          <t>Notes / verification checklist</t>
        </is>
      </c>
    </row>
    <row r="2">
      <c r="A2" t="inlineStr">
        <is>
          <t>Shared</t>
        </is>
      </c>
      <c r="B2" t="inlineStr">
        <is>
          <t>Core bundle</t>
        </is>
      </c>
      <c r="C2" t="inlineStr">
        <is>
          <t>SO-ARM101 Arm Motor Kit (without 3D printed parts). Seller part list includes: 7x C001 + 2x C044 + 3x C046, 2x adapter boards, cables.</t>
        </is>
      </c>
      <c r="D2" t="n">
        <v>1</v>
      </c>
      <c r="E2" t="inlineStr">
        <is>
          <t>https://www.aliexpress.com/item/1005008883199466.html</t>
        </is>
      </c>
      <c r="F2" s="6" t="n">
        <v>305.01</v>
      </c>
      <c r="G2" s="6" t="n">
        <v>51.04</v>
      </c>
      <c r="H2" s="6">
        <f>ROUND((F2*D2+G2)*0.13,2)</f>
        <v/>
      </c>
      <c r="I2" s="6">
        <f>ROUND(F2*D2+G2+H2,2)</f>
        <v/>
      </c>
      <c r="J2" t="inlineStr">
        <is>
          <t>Price is Arm Motor Kit SKU from live PDP API. Shipping shown is live for default SKU on same listing; Arm Motor Kit SKU shipping may vary.</t>
        </is>
      </c>
    </row>
    <row r="3">
      <c r="A3" t="inlineStr">
        <is>
          <t>Shared</t>
        </is>
      </c>
      <c r="B3" t="inlineStr">
        <is>
          <t>Optional tool</t>
        </is>
      </c>
      <c r="C3" t="inlineStr">
        <is>
          <t>Table clamps (4 pcs total recommended)</t>
        </is>
      </c>
      <c r="D3" t="n">
        <v>1</v>
      </c>
      <c r="E3" t="inlineStr"/>
      <c r="F3" s="6" t="n">
        <v>0</v>
      </c>
      <c r="G3" s="6" t="n">
        <v>0</v>
      </c>
      <c r="H3" s="6" t="n">
        <v>0</v>
      </c>
      <c r="I3" s="6" t="n">
        <v>0</v>
      </c>
      <c r="J3" t="inlineStr">
        <is>
          <t>Optional but recommended by repo; unresolved AliExpress line due anti-bot blocks.</t>
        </is>
      </c>
    </row>
    <row r="4">
      <c r="A4" t="inlineStr">
        <is>
          <t>Shared</t>
        </is>
      </c>
      <c r="B4" t="inlineStr">
        <is>
          <t>Optional tool</t>
        </is>
      </c>
      <c r="C4" t="inlineStr">
        <is>
          <t>Precision screwdriver set with Phillips #0 and #1</t>
        </is>
      </c>
      <c r="D4" t="n">
        <v>1</v>
      </c>
      <c r="E4" t="inlineStr"/>
      <c r="F4" s="6" t="n">
        <v>0</v>
      </c>
      <c r="G4" s="6" t="n">
        <v>0</v>
      </c>
      <c r="H4" s="6" t="n">
        <v>0</v>
      </c>
      <c r="I4" s="6" t="n">
        <v>0</v>
      </c>
      <c r="J4" t="inlineStr">
        <is>
          <t>Optional but recommended by repo; unresolved AliExpress line due anti-bot blocks.</t>
        </is>
      </c>
    </row>
    <row r="5">
      <c r="A5" t="inlineStr">
        <is>
          <t>Shared</t>
        </is>
      </c>
      <c r="B5" t="inlineStr">
        <is>
          <t>Fasteners</t>
        </is>
      </c>
      <c r="C5" t="inlineStr">
        <is>
          <t>M2x6 and M3x6 screws + horn screws</t>
        </is>
      </c>
      <c r="D5" t="n">
        <v>1</v>
      </c>
      <c r="E5" t="inlineStr"/>
      <c r="F5" s="6" t="n">
        <v>0</v>
      </c>
      <c r="G5" s="6" t="n">
        <v>0</v>
      </c>
      <c r="H5" s="6" t="n">
        <v>0</v>
      </c>
      <c r="I5" s="6" t="n">
        <v>0</v>
      </c>
      <c r="J5" t="inlineStr">
        <is>
          <t>Assembly docs specify M2x6/M3x6 extensively; often included with servos. Add spare assortment if your servo packs are incomplete.</t>
        </is>
      </c>
    </row>
    <row r="6">
      <c r="A6" s="2" t="inlineStr">
        <is>
          <t>TOTAL</t>
        </is>
      </c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2026-02-15T06:39:18Z</dcterms:created>
  <dcterms:modified xsi:type="dcterms:W3CDTF">2026-02-15T06:39:18Z</dcterms:modified>
</cp:coreProperties>
</file>