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g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Highest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Live Amazon scrape date</v>
      </c>
      <c r="B2" t="str">
        <v>2026-02-28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Section</v>
      </c>
      <c r="B4" t="str">
        <v>Product Name</v>
      </c>
      <c r="C4" t="str">
        <v>Quantity Needed</v>
      </c>
      <c r="D4" t="str">
        <v>Amazon/Amazon.ca Link</v>
      </c>
      <c r="E4" t="str">
        <v>Unit Price (CAD)</v>
      </c>
      <c r="F4" t="str">
        <v>Shipping (CAD)</v>
      </c>
      <c r="G4" t="str">
        <v>Line Total (CAD)</v>
      </c>
      <c r="H4" t="str">
        <v>Notes</v>
      </c>
    </row>
    <row r="5">
      <c r="A5" t="str">
        <v>Leader</v>
      </c>
      <c r="B5" t="str">
        <v>6X 7.4V STS3215 Servos for SO-ARM100 Robotic Arm 19KG High Torque Intelligent Bus Servo TTL with FE-URT-1</v>
      </c>
      <c r="C5">
        <v>1</v>
      </c>
      <c r="D5" t="str">
        <v>https://www.amazon.ca/Kikolufy-STS3215-SO-ARM100-Intelligent-FE-URT-1/dp/B0FQCT2LK1</v>
      </c>
      <c r="E5">
        <v>185.8</v>
      </c>
      <c r="F5">
        <v>5.54</v>
      </c>
      <c r="G5">
        <f>C5*E5+F5</f>
        <v>191.34</v>
      </c>
      <c r="H5" t="str">
        <v>Amazon-only SO-ARM100 leader bundle. Repo requires 3x C046 + 2x C044 + 1x C001; listing does not expose the ratio split.</v>
      </c>
    </row>
    <row r="6">
      <c r="A6" t="str">
        <v>Leader</v>
      </c>
      <c r="B6" t="str">
        <v>Serial Bus Servo Driver Board, Integrates Servo Power Supply and Control Circuit, for ST/SC Series Serial Bus Servos, Supports 253 ST/SC Series Serial Bus Servos at The Same Time</v>
      </c>
      <c r="C6">
        <v>1</v>
      </c>
      <c r="D6" t="str">
        <v>https://www.amazon.ca/Wonrabai-Waveshare-Integrates-Control-Supports/dp/B0CTMM4LWK</v>
      </c>
      <c r="E6">
        <v>15.35</v>
      </c>
      <c r="F6">
        <v>5.05</v>
      </c>
      <c r="G6">
        <f>C6*E6+F6</f>
        <v>20.4</v>
      </c>
      <c r="H6" t="str">
        <v>Exact repo board ASIN. LeRobot requires ST/SC serial bus support and B-channel jumpers during setup. Official board docs list 9-12.6V input, which conflicts with the repo's 5V leader PSU guidance.</v>
      </c>
    </row>
    <row r="7">
      <c r="A7" t="str">
        <v>Leader</v>
      </c>
      <c r="B7" t="str">
        <v>etguuds Blue USB C Cable 6.6ft, 2-Pack USB to USB C Cable 3A Fast Charging Type C Cable Braided Data Cord</v>
      </c>
      <c r="C7">
        <v>1</v>
      </c>
      <c r="D7" t="str">
        <v>https://www.amazon.ca/Charging-etguuds-Charger-Braided-Compatible/dp/B0B8NWLLW2</v>
      </c>
      <c r="E7">
        <v>12.59</v>
      </c>
      <c r="F7">
        <v>0</v>
      </c>
      <c r="G7">
        <f>C7*E7+F7</f>
        <v>12.59</v>
      </c>
      <c r="H7" t="str">
        <v>Use one cable for the leader control board.</v>
      </c>
    </row>
    <row r="8">
      <c r="A8" t="str">
        <v>Leader</v>
      </c>
      <c r="B8" t="str">
        <v>Facmogu DC 5V 4A AC to DC Converter, AC 100-240V to DC 5 Volt 4 Amp 20W Power Supply 5V Switching Transformer Power Adapter, Wall Mounted Adapter with with Barrel Connector 5.5x2.5mm &amp; 5.5x2.1mm</v>
      </c>
      <c r="C8">
        <v>1</v>
      </c>
      <c r="D8" t="str">
        <v>https://www.amazon.ca/Facmogu-Switching-Transformer-Converter-Compatible/dp/B087LY41PV</v>
      </c>
      <c r="E8">
        <v>14.39</v>
      </c>
      <c r="F8">
        <v>0</v>
      </c>
      <c r="G8">
        <f>C8*E8+F8</f>
        <v>14.39</v>
      </c>
      <c r="H8" t="str">
        <v>Exact SO-101 repo PSU ASIN. Upstream controller-board voltage guidance conflicts with the repo's 5V leader supply recommendation.</v>
      </c>
    </row>
    <row r="9">
      <c r="A9" t="str">
        <v>Follower</v>
      </c>
      <c r="B9" t="str">
        <v>2PCS STS3215 12V 30KG Dual Axis TTL Serial Bus Servo Metal Gear 360 Degree Programmable Magnetic Encoder Servo for Arduino Robotic Arm Smart Robot</v>
      </c>
      <c r="C9">
        <v>3</v>
      </c>
      <c r="D9" t="str">
        <v>https://www.amazon.ca/STS3215-Programmable-Magnetic-Encoder-Arduino/dp/B0FVS5HD2V</v>
      </c>
      <c r="E9">
        <v>66.59</v>
      </c>
      <c r="F9">
        <v>0</v>
      </c>
      <c r="G9">
        <f>C9*E9+F9</f>
        <v>199.77</v>
      </c>
      <c r="H9" t="str">
        <v>Buy 3 packs to get the 6x 12V follower servos required for the shared 12V rail. Listing explicitly says 2 servos; accessory/cable contents are not explicit.</v>
      </c>
    </row>
    <row r="10">
      <c r="A10" t="str">
        <v>Follower</v>
      </c>
      <c r="B10" t="str">
        <v>Serial Bus Servo Driver Board, Integrates Servo Power Supply and Control Circuit, for ST/SC Series Serial Bus Servos, Supports 253 ST/SC Series Serial Bus Servos at The Same Time</v>
      </c>
      <c r="C10">
        <v>1</v>
      </c>
      <c r="D10" t="str">
        <v>https://www.amazon.ca/Wonrabai-Waveshare-Integrates-Control-Supports/dp/B0CTMM4LWK</v>
      </c>
      <c r="E10">
        <v>15.35</v>
      </c>
      <c r="F10">
        <v>5.05</v>
      </c>
      <c r="G10">
        <f>C10*E10+F10</f>
        <v>20.4</v>
      </c>
      <c r="H10" t="str">
        <v>Exact repo board ASIN. Set jumpers to B-channel (USB) during LeRobot motor setup. Works with ST/SC serial bus servos.</v>
      </c>
    </row>
    <row r="11">
      <c r="A11" t="str">
        <v>Follower</v>
      </c>
      <c r="B11" t="str">
        <v>etguuds Blue USB C Cable 6.6ft, 2-Pack USB to USB C Cable 3A Fast Charging Type C Cable Braided Data Cord</v>
      </c>
      <c r="C11">
        <v>1</v>
      </c>
      <c r="D11" t="str">
        <v>https://www.amazon.ca/Charging-etguuds-Charger-Braided-Compatible/dp/B0B8NWLLW2</v>
      </c>
      <c r="E11">
        <v>12.59</v>
      </c>
      <c r="F11">
        <v>0</v>
      </c>
      <c r="G11">
        <f>C11*E11+F11</f>
        <v>12.59</v>
      </c>
      <c r="H11" t="str">
        <v>Use one cable for the follower control board.</v>
      </c>
    </row>
    <row r="12">
      <c r="A12" t="str">
        <v>Follower</v>
      </c>
      <c r="B12" t="str">
        <v>12V 5A Power Supply, AC 120V to DC12V 5.5x2.1mm Jack Converter, 12 Volt LED Driver 60W Adapter Transformer</v>
      </c>
      <c r="C12">
        <v>1</v>
      </c>
      <c r="D12" t="str">
        <v>https://www.amazon.ca/5-5x2-1mm-Converter-Transformer-Surveillance-External/dp/B07GFFG1BQ</v>
      </c>
      <c r="E12">
        <v>16.99</v>
      </c>
      <c r="F12">
        <v>0</v>
      </c>
      <c r="G12">
        <f>C12*E12+F12</f>
        <v>16.99</v>
      </c>
      <c r="H12" t="str">
        <v>Explicit 5.5x2.1mm 12V/5A adapter for the upgraded follower chain.</v>
      </c>
    </row>
    <row r="13">
      <c r="A13" t="str">
        <v>Shared</v>
      </c>
      <c r="B13" t="str">
        <v>cSeao 100pcs M2 x 6mm Pan Head Phillips Drive Machine Screws 304 Stainless Steel</v>
      </c>
      <c r="C13">
        <v>1</v>
      </c>
      <c r="D13" t="str">
        <v>https://www.amazon.ca/cSeao-100pcs-Phillips-Machine-Stainless/dp/B0CMCTX529</v>
      </c>
      <c r="E13">
        <v>7.33</v>
      </c>
      <c r="F13">
        <v>0</v>
      </c>
      <c r="G13">
        <f>C13*E13+F13</f>
        <v>7.33</v>
      </c>
      <c r="H13" t="str">
        <v>Matches LeRobot's M2x6 requirement for the arms. Two-arm build needs about 47 M2x6 screws from the HF assembly steps.</v>
      </c>
    </row>
    <row r="14">
      <c r="A14" t="str">
        <v>Shared</v>
      </c>
      <c r="B14" t="str">
        <v>binifiMux 360pcs M3 x 4mm/ 6mm/ 8mm/ 10mm/ 12mm/ 16mm / 20mm Black Countersunk Flat Head Phillips Machine Screws and Hex Nuts Kit</v>
      </c>
      <c r="C14">
        <v>1</v>
      </c>
      <c r="D14" t="str">
        <v>https://www.amazon.ca/binifiMux-360pcs-Countersunk-Phillips-Machine/dp/B08N5XDHMW</v>
      </c>
      <c r="E14">
        <v>10.49</v>
      </c>
      <c r="F14">
        <v>0</v>
      </c>
      <c r="G14">
        <f>C14*E14+F14</f>
        <v>10.49</v>
      </c>
      <c r="H14" t="str">
        <v>Current Amazon-only placeholder. Local LeRobot assembly docs call for M3x6 pan-head screws; this row is not an exact head-type match.</v>
      </c>
    </row>
    <row r="15">
      <c r="A15" t="str">
        <v>Shared</v>
      </c>
      <c r="B15" t="str">
        <v>TAODAN 4PCS 4 Inch Trigger Quick Grip Clamps Bar Clamp Trigger Quick Grip Clamp Single Hand Ratchet Woodworking Clamp</v>
      </c>
      <c r="C15">
        <v>1</v>
      </c>
      <c r="D15" t="str">
        <v>https://www.amazon.ca/TAODAN-Trigger-Ratchet-Woodworking-Processes/dp/B0DJNXF8WH</v>
      </c>
      <c r="E15">
        <v>20.08</v>
      </c>
      <c r="F15">
        <v>0</v>
      </c>
      <c r="G15">
        <f>C15*E15+F15</f>
        <v>20.08</v>
      </c>
      <c r="H15" t="str">
        <v>Bench mounting clamps.</v>
      </c>
    </row>
    <row r="16">
      <c r="A16" t="str">
        <v>Shared</v>
      </c>
      <c r="B16" t="str">
        <v>WORKPRO 10-Piece Precision Screwdriver Set with Pouch, Phillips, Slotted, Torx Star, Magnetic Mini Screwdriver Repair Tool Kit</v>
      </c>
      <c r="C16">
        <v>1</v>
      </c>
      <c r="D16" t="str">
        <v>https://www.amazon.ca/10-Piece-Precision-Screwdriver-Phillips-Magnetic/dp/B091C32HLX</v>
      </c>
      <c r="E16">
        <v>19.99</v>
      </c>
      <c r="F16">
        <v>0</v>
      </c>
      <c r="G16">
        <f>C16*E16+F16</f>
        <v>19.99</v>
      </c>
      <c r="H16" t="str">
        <v>Assembly tool set.</v>
      </c>
    </row>
    <row r="17">
      <c r="A17" t="str">
        <v>Other</v>
      </c>
      <c r="B17" t="str">
        <v>InnoMaker 1080P USB2.0 UVC Camera, 130° Wide Angle Camera, Plug &amp; Play for PC, Raspberry Pi, Jetson Nano and SBCs</v>
      </c>
      <c r="C17">
        <v>2</v>
      </c>
      <c r="D17" t="str">
        <v>https://www.amazon.ca/innomaker-Computer-Raspberry-Support-Windows/dp/B0CNCSFQC1</v>
      </c>
      <c r="E17">
        <v>30.51</v>
      </c>
      <c r="F17">
        <v>5.26</v>
      </c>
      <c r="G17">
        <f>C17*E17+F17</f>
        <v>66.28</v>
      </c>
      <c r="H17" t="str">
        <v>Exact SO-101 wrist-camera module model from the local optional arm docs. This is not the camera family used in LeKiwi's base-camera mount instructions.</v>
      </c>
    </row>
    <row r="18">
      <c r="A18" t="str">
        <v>Other</v>
      </c>
      <c r="B18" t="str">
        <v>EMEET 1080P Webcam with Microphone, C960 Web Camera, 2 Mics Streaming Webcam, 90°FOV Computer Camera</v>
      </c>
      <c r="C18">
        <v>1</v>
      </c>
      <c r="D18" t="str">
        <v>https://www.amazon.ca/Webcam-Streaming-Recording-Built-Correction/dp/B07M6Y7355</v>
      </c>
      <c r="E18">
        <v>29.99</v>
      </c>
      <c r="F18">
        <v>0</v>
      </c>
      <c r="G18">
        <f>C18*E18+F18</f>
        <v>29.99</v>
      </c>
      <c r="H18" t="str">
        <v>Amazon.ca substitute. The local SO-101 overhead-webcam doc recommends ASIN B082X91MPP, but I could not recover a live CAD sell price from that listing.</v>
      </c>
    </row>
    <row r="19">
      <c r="A19" t="str">
        <v>Other</v>
      </c>
      <c r="B19" t="str">
        <v>Core Prodigy Fusion Grip Tape - Silicone Rubber Wrap for Pull Up Bars, Barbells, Dumbbells, Sports and Gym Equipment, and Tools (10 Foot / 120 inches)</v>
      </c>
      <c r="C19">
        <v>1</v>
      </c>
      <c r="D19" t="str">
        <v>https://www.amazon.ca/Core-Prodigy-Fusion-Silicone-Equipment/dp/B072QYQN7B</v>
      </c>
      <c r="E19">
        <v>10.09</v>
      </c>
      <c r="F19">
        <v>0</v>
      </c>
      <c r="G19">
        <f>C19*E19+F19</f>
        <v>10.09</v>
      </c>
      <c r="H19" t="str">
        <v>Optional grip improvement for the gripper fingers.</v>
      </c>
    </row>
    <row r="20">
      <c r="A20" t="str">
        <v>Base</v>
      </c>
      <c r="B20" t="str">
        <v>Drfeify 100mm Double Plastic Omni Directional Wheel, 20KG Load Capacity with Rubber Rollers for Robot Racing Wheel 14049</v>
      </c>
      <c r="C20">
        <v>3</v>
      </c>
      <c r="D20" t="str">
        <v>https://www.amazon.ca/Drfeify-Plastic-Directional-Capacity-Rollers/dp/B0GPFW13R9</v>
      </c>
      <c r="E20">
        <v>40.88</v>
      </c>
      <c r="F20">
        <v>0</v>
      </c>
      <c r="G20">
        <f>C20*E20+F20</f>
        <v>122.64</v>
      </c>
      <c r="H20" t="str">
        <v>Amazon-only substitute. LeKiwi's BOM references a VEX 4-inch omni wheel, not this exact Amazon.ca wheel.</v>
      </c>
    </row>
    <row r="21">
      <c r="A21" t="str">
        <v>Base</v>
      </c>
      <c r="B21" t="str">
        <v>2PCS STS3215 12V 30KG Dual Axis TTL Serial Bus Servo Metal Gear 360 Degree Programmable Magnetic Encoder Servo for Arduino Robotic Arm Smart Robot</v>
      </c>
      <c r="C21">
        <v>1</v>
      </c>
      <c r="D21" t="str">
        <v>https://www.amazon.ca/STS3215-Programmable-Magnetic-Encoder-Arduino/dp/B0FVS5HD2V</v>
      </c>
      <c r="E21">
        <v>66.59</v>
      </c>
      <c r="F21">
        <v>0</v>
      </c>
      <c r="G21">
        <f>C21*E21+F21</f>
        <v>66.59</v>
      </c>
      <c r="H21" t="str">
        <v>One 2-pack for two of the three LeKiwi base drive servos. Listing explicitly says 2 servos; accessory/cable contents are not explicit.</v>
      </c>
    </row>
    <row r="22">
      <c r="A22" t="str">
        <v>Base</v>
      </c>
      <c r="B22" t="str">
        <v>STS3215 12V 30KG Magnetic Encoder Servo Metal Gear Dual Axis TTL Serial Bus Servo 360 Degree String Servos for Robotic Arm Smart Robot</v>
      </c>
      <c r="C22">
        <v>1</v>
      </c>
      <c r="D22" t="str">
        <v>https://www.amazon.ca/DIYmall-STS3215-Magnetic-Encoder-Robotic/dp/B0FGNTDV3Y</v>
      </c>
      <c r="E22">
        <v>45.97</v>
      </c>
      <c r="F22">
        <v>0</v>
      </c>
      <c r="G22">
        <f>C22*E22+F22</f>
        <v>45.97</v>
      </c>
      <c r="H22" t="str">
        <v>Single 12V STS3215 to complete the 3-servo LeKiwi base drive set. Listing explicitly says 1 servo; accessory/cable contents are not explicit.</v>
      </c>
    </row>
    <row r="23">
      <c r="A23" t="str">
        <v>Base</v>
      </c>
      <c r="B23" t="str">
        <v>KBT 12V 5200mAh 58W Rechargeable Li-ion Battery, Bare Leads Wire Replacement Battery Pack with 12V Charger</v>
      </c>
      <c r="C23">
        <v>1</v>
      </c>
      <c r="D23" t="str">
        <v>https://www.amazon.ca/KBT-5200mAh-Rechargeable-Replacement-Compatible/dp/B0C242DYT1</v>
      </c>
      <c r="E23">
        <v>84.02</v>
      </c>
      <c r="F23">
        <v>0</v>
      </c>
      <c r="G23">
        <f>C23*E23+F23</f>
        <v>84.02</v>
      </c>
      <c r="H23" t="str">
        <v>12V mobile base battery.</v>
      </c>
    </row>
    <row r="24">
      <c r="A24" t="str">
        <v>Base</v>
      </c>
      <c r="B24" t="str">
        <v>Wago 221-613 Lever-Nuts 10AWG 3 Conductor Compact Wire Connectors 10 PK Bag</v>
      </c>
      <c r="C24">
        <v>1</v>
      </c>
      <c r="D24" t="str">
        <v>https://www.amazon.ca/221-613-LEVER-NUTS-Conductor-Compact-Connectors/dp/B085ZQKQD2</v>
      </c>
      <c r="E24">
        <v>18.99</v>
      </c>
      <c r="F24">
        <v>0</v>
      </c>
      <c r="G24">
        <f>C24*E24+F24</f>
        <v>18.99</v>
      </c>
      <c r="H24" t="str">
        <v>Amazon-only 3-conductor lever connector choice for LeKiwi power wiring.</v>
      </c>
    </row>
    <row r="25">
      <c r="A25" t="str">
        <v>Base</v>
      </c>
      <c r="B25" t="str">
        <v>(Real 18AWG) 10 Pairs 12V 5A DC Power Pigtail Barrel Plug Connector Cable, 2.1mm x 5.5mm Male Female DC Pigtail Connectors</v>
      </c>
      <c r="C25">
        <v>1</v>
      </c>
      <c r="D25" t="str">
        <v>https://www.amazon.ca/43x2pcs-Connectors-Security-Lighting-MILAPEAK/dp/B072BXB2Y8</v>
      </c>
      <c r="E25">
        <v>28.95</v>
      </c>
      <c r="F25">
        <v>0</v>
      </c>
      <c r="G25">
        <f>C25*E25+F25</f>
        <v>28.95</v>
      </c>
      <c r="H25" t="str">
        <v>5.5x2.1mm power connector kit.</v>
      </c>
    </row>
    <row r="26">
      <c r="A26" t="str">
        <v>Base</v>
      </c>
      <c r="B26" t="str">
        <v>DC 12V/24V to 5V USB C Step Down Converter Type-C Interface 5A 25W Waterproof Buck Module Power Adapter</v>
      </c>
      <c r="C26">
        <v>1</v>
      </c>
      <c r="D26" t="str">
        <v>https://www.amazon.ca/Klnuoxj-Converter-Interface-Waterproof-Compatible/dp/B0CRVW7N2J</v>
      </c>
      <c r="E26">
        <v>14.07</v>
      </c>
      <c r="F26">
        <v>0</v>
      </c>
      <c r="G26">
        <f>C26*E26+F26</f>
        <v>14.07</v>
      </c>
      <c r="H26" t="str">
        <v>Power converter for Pi/USB-C devices on the 12V base.</v>
      </c>
    </row>
    <row r="27">
      <c r="A27" t="str">
        <v>Base</v>
      </c>
      <c r="B27" t="str">
        <v>Raspberry Pi 5 4GB 2023 - Newest 2.4 GHz 64-bit Quad Core ARM Processor, Dual-Band 802.11ac Wi-Fi, Bluetooth 5.0</v>
      </c>
      <c r="C27">
        <v>1</v>
      </c>
      <c r="D27" t="str">
        <v>https://www.amazon.ca/Raspberry-Pi-4GB-2023-Processor/dp/B0CK3L9WD3</v>
      </c>
      <c r="E27">
        <v>140</v>
      </c>
      <c r="F27">
        <v>0</v>
      </c>
      <c r="G27">
        <f>C27*E27+F27</f>
        <v>140</v>
      </c>
      <c r="H27" t="str">
        <v>Onboard compute for the follower base.</v>
      </c>
    </row>
    <row r="28">
      <c r="A28" t="str">
        <v>Base</v>
      </c>
      <c r="B28" t="str">
        <v>SanDisk 64GB High Endurance Video MicroSDXC Card with Adapter for Dash Cam and Home Monitoring Systems</v>
      </c>
      <c r="C28">
        <v>1</v>
      </c>
      <c r="D28" t="str">
        <v>https://www.amazon.ca/SanDisk-Endurance-microSDXC-Adapter-Monitoring/dp/B07P3D6Y5B</v>
      </c>
      <c r="E28">
        <v>20.99</v>
      </c>
      <c r="F28">
        <v>0</v>
      </c>
      <c r="G28">
        <f>C28*E28+F28</f>
        <v>20.99</v>
      </c>
      <c r="H28" t="str">
        <v>Reliable high-endurance microSD for the Pi.</v>
      </c>
    </row>
    <row r="29">
      <c r="A29" t="str">
        <v>Base</v>
      </c>
      <c r="B29" t="str">
        <v>1705 Pcs Machine Screw Assortment Kit, M2 M3 M4 M5 Metric Bolts and Nuts Kit with Lock and Flat Washers</v>
      </c>
      <c r="C29">
        <v>1</v>
      </c>
      <c r="D29" t="str">
        <v>https://www.amazon.ca/Machine-Assortment-Metric-Washers-Button/dp/B0C3926M1B</v>
      </c>
      <c r="E29">
        <v>28.99</v>
      </c>
      <c r="F29">
        <v>0</v>
      </c>
      <c r="G29">
        <f>C29*E29+F29</f>
        <v>28.99</v>
      </c>
      <c r="H29" t="str">
        <v>Cheaper Amazon.ca substitute for LeKiwi's assorted base screw row. Covers many base machine-screw sizes, but not the arm's exact M2.5 board-mount hardware.</v>
      </c>
    </row>
    <row r="30">
      <c r="A30" t="str">
        <v>Base</v>
      </c>
      <c r="B30" t="str">
        <v>UGREEN Revodok USB C Hub 5-in-1, Multiport Adapter with 4K HDMI, 3 USB A Data Transfer 5Gbps, 100W Charging Port</v>
      </c>
      <c r="C30">
        <v>1</v>
      </c>
      <c r="D30" t="str">
        <v>https://www.amazon.ca/UGREEN-Revodok-Delivery-Multiport-Thinkpad/dp/B0BR3M8XHK</v>
      </c>
      <c r="E30">
        <v>22.99</v>
      </c>
      <c r="F30">
        <v>0</v>
      </c>
      <c r="G30">
        <f>C30*E30+F30</f>
        <v>22.99</v>
      </c>
      <c r="H30" t="str">
        <v>USB hub for base integration.</v>
      </c>
    </row>
    <row r="31">
      <c r="A31" t="str">
        <v>Base</v>
      </c>
      <c r="B31" t="str">
        <v>USB C Extension Cable (10Gbps/100W/1ft), USB 3.2 Gen 2 Type C Male to Female Extension Charging &amp; Sync</v>
      </c>
      <c r="C31">
        <v>1</v>
      </c>
      <c r="D31" t="str">
        <v>https://www.amazon.ca/Extension-Female-Extender-Charging-MacBook/dp/B0CKZLC2Q7</v>
      </c>
      <c r="E31">
        <v>8.99</v>
      </c>
      <c r="F31">
        <v>0</v>
      </c>
      <c r="G31">
        <f>C31*E31+F31</f>
        <v>8.99</v>
      </c>
      <c r="H31" t="str">
        <v>Amazon-only substitute for the LeKiwi USB-C extension row.</v>
      </c>
    </row>
    <row r="32">
      <c r="A32" t="str">
        <v>Base</v>
      </c>
      <c r="B32" t="str">
        <v>DSD TECH MagicConn SH-CP05A USB Type C PD to DC Power Cable(55x25)-5V</v>
      </c>
      <c r="C32">
        <v>1</v>
      </c>
      <c r="D32" t="str">
        <v>https://www.amazon.ca/DSD-TECH-MagicConn-SH-CP05A-Cable-5V/dp/B0B9G1KFL3</v>
      </c>
      <c r="E32">
        <v>14.99</v>
      </c>
      <c r="F32">
        <v>0</v>
      </c>
      <c r="G32">
        <f>C32*E32+F32</f>
        <v>14.99</v>
      </c>
      <c r="H32" t="str">
        <v>USB-C to DC cable used in the LeKiwi BOM family.</v>
      </c>
    </row>
    <row r="33">
      <c r="A33" t="str">
        <v>TOTAL: Highest Items (CAD)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>
        <f>SUM(G5:G32)</f>
        <v>1270.9</v>
      </c>
      <c r="H33" t="str">
        <v/>
      </c>
    </row>
    <row r="34">
      <c r="A34" t="str">
        <v>HST 13% (CAD)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>
        <f>ROUND(G33*0.13,2)</f>
        <v>165.22</v>
      </c>
      <c r="H34" t="str">
        <v/>
      </c>
    </row>
    <row r="35">
      <c r="A35" t="str">
        <v>GRAND TOTAL (CAD)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>
        <f>G33+G34</f>
        <v>1436.12</v>
      </c>
      <c r="H35" t="str">
        <v/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